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Library/CloudStorage/Dropbox/NADHack/Github-Repos/Xmas_Star2.0/Hardware/ESP32_Xmas_Star_Module/"/>
    </mc:Choice>
  </mc:AlternateContent>
  <xr:revisionPtr revIDLastSave="0" documentId="13_ncr:1_{168447E0-0C18-0F48-9C54-223BA7BD89D7}" xr6:coauthVersionLast="47" xr6:coauthVersionMax="47" xr10:uidLastSave="{00000000-0000-0000-0000-000000000000}"/>
  <bookViews>
    <workbookView xWindow="680" yWindow="740" windowWidth="28040" windowHeight="16860" xr2:uid="{10BD4B82-476F-8446-BE22-01B749018080}"/>
  </bookViews>
  <sheets>
    <sheet name="ESP32_Xmas_St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8" i="1"/>
  <c r="J3" i="1"/>
  <c r="J4" i="1"/>
  <c r="J5" i="1"/>
  <c r="J7" i="1"/>
  <c r="J2" i="1"/>
  <c r="J9" i="1" l="1"/>
</calcChain>
</file>

<file path=xl/sharedStrings.xml><?xml version="1.0" encoding="utf-8"?>
<sst xmlns="http://schemas.openxmlformats.org/spreadsheetml/2006/main" count="39" uniqueCount="38">
  <si>
    <t>Reference</t>
  </si>
  <si>
    <t>Qty</t>
  </si>
  <si>
    <t>Value</t>
  </si>
  <si>
    <t>DNP</t>
  </si>
  <si>
    <t>Footprint</t>
  </si>
  <si>
    <t>Datasheet</t>
  </si>
  <si>
    <t>Capacitor_SMD:C_0805_2012Metric_Pad1.18x1.45mm_HandSolder</t>
  </si>
  <si>
    <t>~</t>
  </si>
  <si>
    <t>D1,D2,D3,D4,D5,D6,D7,D8,D9,D10,D11,D12,D13,D14,D15,D16,D17,D18,D19,D20,D21,D22,D23,D24,D25</t>
  </si>
  <si>
    <t>WS2812B</t>
  </si>
  <si>
    <t>LED_SMD:LED_WS2812B_PLCC4_5.0x5.0mm_P3.2mm</t>
  </si>
  <si>
    <t>https://cdn-shop.adafruit.com/datasheets/WS2812B.pdf</t>
  </si>
  <si>
    <t>Resistor_SMD:R_0805_2012Metric_Pad1.20x1.40mm_HandSolder</t>
  </si>
  <si>
    <t>10K</t>
  </si>
  <si>
    <t>Digi-Key Order</t>
  </si>
  <si>
    <t>Unit Cost</t>
  </si>
  <si>
    <t>Line Cost</t>
  </si>
  <si>
    <t>C1,C2,C3,C4,C5</t>
  </si>
  <si>
    <t>100nF</t>
  </si>
  <si>
    <t>J1,J2</t>
  </si>
  <si>
    <t>SSW-109-22-F-S-VS:SAMTEC_SSW-109-22-X-S-VS</t>
  </si>
  <si>
    <t>SSW-109-22-X-S-VS</t>
  </si>
  <si>
    <t>SSW-109-22-F-S-VS-ND</t>
  </si>
  <si>
    <t>R1,R2</t>
  </si>
  <si>
    <t>M1</t>
  </si>
  <si>
    <t>ESP32-C3-Mini</t>
  </si>
  <si>
    <t>Waveshare ESP32-C3 Zero Mini Development Board</t>
  </si>
  <si>
    <t>PiHut</t>
  </si>
  <si>
    <t>WAV-25532</t>
  </si>
  <si>
    <t>PCB</t>
  </si>
  <si>
    <t>ESP32_XmasStarModV2</t>
  </si>
  <si>
    <t>SW1,SW2</t>
  </si>
  <si>
    <t>108-GSPTS004003CT-ND</t>
  </si>
  <si>
    <t>SWITCH TACTILE SPST-NO 0.05A 12V</t>
  </si>
  <si>
    <t>SW</t>
  </si>
  <si>
    <t>1276-1003-1-ND</t>
  </si>
  <si>
    <t>RMCF0805FT10K0CT-ND</t>
  </si>
  <si>
    <t>https://www.waveshare.com/wiki/ESP32-C3-Zero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</si>
</sst>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aveshare.com/wiki/ESP32-C3-Z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6D96-FD5A-7D4F-A93A-05FCE619C428}">
  <dimension ref="A1:J9"/>
  <sheetViews>
    <sheetView tabSelected="1" workbookViewId="0">
      <selection activeCell="E8" sqref="E8"/>
    </sheetView>
  </sheetViews>
  <sheetFormatPr baseColWidth="10" defaultRowHeight="16" x14ac:dyDescent="0.2"/>
  <cols>
    <col min="1" max="1" width="16.5" customWidth="1"/>
    <col min="3" max="3" width="19.5" bestFit="1" customWidth="1"/>
    <col min="4" max="4" width="5" bestFit="1" customWidth="1"/>
    <col min="5" max="5" width="57.1640625" bestFit="1" customWidth="1"/>
    <col min="6" max="6" width="16.1640625" customWidth="1"/>
    <col min="7" max="7" width="21.83203125" bestFit="1" customWidth="1"/>
    <col min="8" max="8" width="14.5" customWidth="1"/>
    <col min="9" max="9" width="8.83203125" bestFit="1" customWidth="1"/>
    <col min="10" max="10" width="9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27</v>
      </c>
      <c r="I1" s="1" t="s">
        <v>15</v>
      </c>
      <c r="J1" s="1" t="s">
        <v>16</v>
      </c>
    </row>
    <row r="2" spans="1:10" x14ac:dyDescent="0.2">
      <c r="A2" t="s">
        <v>17</v>
      </c>
      <c r="B2">
        <v>5</v>
      </c>
      <c r="C2" t="s">
        <v>18</v>
      </c>
      <c r="E2" t="s">
        <v>6</v>
      </c>
      <c r="F2" t="s">
        <v>7</v>
      </c>
      <c r="G2" t="s">
        <v>35</v>
      </c>
      <c r="I2">
        <v>0.06</v>
      </c>
      <c r="J2">
        <f t="shared" ref="J2:J8" si="0">I2*B2</f>
        <v>0.3</v>
      </c>
    </row>
    <row r="3" spans="1:10" x14ac:dyDescent="0.2">
      <c r="A3" t="s">
        <v>8</v>
      </c>
      <c r="B3">
        <v>25</v>
      </c>
      <c r="C3" t="s">
        <v>9</v>
      </c>
      <c r="E3" t="s">
        <v>10</v>
      </c>
      <c r="F3" t="s">
        <v>11</v>
      </c>
      <c r="I3">
        <v>0.03</v>
      </c>
      <c r="J3">
        <f t="shared" si="0"/>
        <v>0.75</v>
      </c>
    </row>
    <row r="4" spans="1:10" x14ac:dyDescent="0.2">
      <c r="A4" t="s">
        <v>19</v>
      </c>
      <c r="B4">
        <v>2</v>
      </c>
      <c r="C4" t="s">
        <v>21</v>
      </c>
      <c r="E4" t="s">
        <v>20</v>
      </c>
      <c r="G4" t="s">
        <v>22</v>
      </c>
      <c r="I4">
        <v>1.57</v>
      </c>
      <c r="J4">
        <f t="shared" si="0"/>
        <v>3.14</v>
      </c>
    </row>
    <row r="5" spans="1:10" x14ac:dyDescent="0.2">
      <c r="A5" t="s">
        <v>23</v>
      </c>
      <c r="B5">
        <v>2</v>
      </c>
      <c r="C5" t="s">
        <v>13</v>
      </c>
      <c r="E5" t="s">
        <v>12</v>
      </c>
      <c r="F5" t="s">
        <v>7</v>
      </c>
      <c r="G5" t="s">
        <v>36</v>
      </c>
      <c r="I5">
        <v>0.08</v>
      </c>
      <c r="J5">
        <f t="shared" si="0"/>
        <v>0.16</v>
      </c>
    </row>
    <row r="6" spans="1:10" x14ac:dyDescent="0.2">
      <c r="A6" t="s">
        <v>31</v>
      </c>
      <c r="B6">
        <v>2</v>
      </c>
      <c r="C6" t="s">
        <v>34</v>
      </c>
      <c r="E6" t="s">
        <v>33</v>
      </c>
      <c r="G6" t="s">
        <v>32</v>
      </c>
      <c r="I6">
        <v>0.15</v>
      </c>
      <c r="J6">
        <f t="shared" si="0"/>
        <v>0.3</v>
      </c>
    </row>
    <row r="7" spans="1:10" x14ac:dyDescent="0.2">
      <c r="A7" t="s">
        <v>24</v>
      </c>
      <c r="B7">
        <v>1</v>
      </c>
      <c r="C7" t="s">
        <v>25</v>
      </c>
      <c r="E7" t="s">
        <v>26</v>
      </c>
      <c r="F7" s="2" t="s">
        <v>37</v>
      </c>
      <c r="H7" t="s">
        <v>28</v>
      </c>
      <c r="I7">
        <v>4.4000000000000004</v>
      </c>
      <c r="J7">
        <f t="shared" si="0"/>
        <v>4.4000000000000004</v>
      </c>
    </row>
    <row r="8" spans="1:10" x14ac:dyDescent="0.2">
      <c r="A8" t="s">
        <v>29</v>
      </c>
      <c r="B8">
        <v>1</v>
      </c>
      <c r="E8" t="s">
        <v>30</v>
      </c>
      <c r="I8">
        <v>3.2</v>
      </c>
      <c r="J8">
        <f t="shared" si="0"/>
        <v>3.2</v>
      </c>
    </row>
    <row r="9" spans="1:10" x14ac:dyDescent="0.2">
      <c r="J9">
        <f>SUM(J2:J8)</f>
        <v>12.25</v>
      </c>
    </row>
  </sheetData>
  <hyperlinks>
    <hyperlink ref="F7" r:id="rId1" xr:uid="{198EB7A7-5FE5-8346-8C55-2562F084F718}"/>
  </hyperlinks>
  <pageMargins left="0.75" right="0.75" top="1" bottom="1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ESP32_Xmas_Star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Lindsay</dc:creator>
  <cp:lastModifiedBy>Andrew Lindsay</cp:lastModifiedBy>
  <cp:lastPrinted>2025-11-21T09:42:23Z</cp:lastPrinted>
  <dcterms:created xsi:type="dcterms:W3CDTF">2025-09-15T18:23:52Z</dcterms:created>
  <dcterms:modified xsi:type="dcterms:W3CDTF">2025-11-21T09:42:42Z</dcterms:modified>
</cp:coreProperties>
</file>